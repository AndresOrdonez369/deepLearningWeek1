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Grupos" sheetId="2" state="visible" r:id="rId4"/>
    <sheet name="Rúbrica" sheetId="3" state="visible" r:id="rId5"/>
    <sheet name="Notas de sal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<sst xmlns="http://schemas.openxmlformats.org/spreadsheetml/2006/main" count="118" uniqueCount="87">
  <si>
    <t xml:space="preserve">Seguimiento · Semana 1 · Deep Learning UIDE</t>
  </si>
  <si>
    <t xml:space="preserve">Solo profesor: descárgalo y llénalo en tu computador. Llénalo durante las salas del sábado y al calificar.</t>
  </si>
  <si>
    <t xml:space="preserve">Cómo se usa</t>
  </si>
  <si>
    <t xml:space="preserve">Celdas amarillas, texto azul</t>
  </si>
  <si>
    <t xml:space="preserve">Las llenas tú (integrantes, avance, puntajes, notas).</t>
  </si>
  <si>
    <t xml:space="preserve">Texto negro sin relleno</t>
  </si>
  <si>
    <t xml:space="preserve">Se calculan solas (porcentajes, totales, promedios). No las edites.</t>
  </si>
  <si>
    <t xml:space="preserve">Fila gris en cursiva</t>
  </si>
  <si>
    <t xml:space="preserve">Ejemplo de cómo llenar cada hoja. Puedes borrarla o dejarla.</t>
  </si>
  <si>
    <t xml:space="preserve">Hojas</t>
  </si>
  <si>
    <t xml:space="preserve">Grupos</t>
  </si>
  <si>
    <t xml:space="preserve">Integrantes, dataset y avance del NB03 por sección (S1–S9): elige ✔ / en curso / — en la lista. El % se calcula solo (en curso = media sección).</t>
  </si>
  <si>
    <t xml:space="preserve">Rúbrica</t>
  </si>
  <si>
    <t xml:space="preserve">Puntaje por criterio (máx. 25, 15, 15, 10 y 5). El total sobre 70 se suma solo; una celda se pone roja si supera el máximo de su criterio.</t>
  </si>
  <si>
    <t xml:space="preserve">Quizzes</t>
  </si>
  <si>
    <t xml:space="preserve">No van aquí: pega el chat en Resultados_quiz.html (misma carpeta) y verás el antes y el después de cada estudiante.</t>
  </si>
  <si>
    <t xml:space="preserve">Notas de sala</t>
  </si>
  <si>
    <t xml:space="preserve">Una fila por visita a una sala: qué los bloqueaba y qué les sugeriste. Sirve para la socialización y para la retro.</t>
  </si>
  <si>
    <t xml:space="preserve">Secciones del NB03</t>
  </si>
  <si>
    <t xml:space="preserve">S1</t>
  </si>
  <si>
    <t xml:space="preserve">Carga de datos</t>
  </si>
  <si>
    <t xml:space="preserve">S2</t>
  </si>
  <si>
    <t xml:space="preserve">Exploración mínima</t>
  </si>
  <si>
    <t xml:space="preserve">S3</t>
  </si>
  <si>
    <t xml:space="preserve">Partición y preprocesamiento sin fuga</t>
  </si>
  <si>
    <t xml:space="preserve">S4</t>
  </si>
  <si>
    <t xml:space="preserve">Líneas base y métricas</t>
  </si>
  <si>
    <t xml:space="preserve">S5</t>
  </si>
  <si>
    <t xml:space="preserve">Parte A · Perceptrón desde cero</t>
  </si>
  <si>
    <t xml:space="preserve">S6</t>
  </si>
  <si>
    <t xml:space="preserve">Parte B · MLP con retropropagación (NumPy)</t>
  </si>
  <si>
    <t xml:space="preserve">S7</t>
  </si>
  <si>
    <t xml:space="preserve">Parte C · El mismo MLP en Keras</t>
  </si>
  <si>
    <t xml:space="preserve">S8</t>
  </si>
  <si>
    <t xml:space="preserve">Parte D · Experimentos de optimización</t>
  </si>
  <si>
    <t xml:space="preserve">S9</t>
  </si>
  <si>
    <t xml:space="preserve">Evaluación final y umbral</t>
  </si>
  <si>
    <t xml:space="preserve">Meta en las salas (55 min)</t>
  </si>
  <si>
    <t xml:space="preserve">Al salir de salas: S1–S5 y S7 avanzadas y un primer experimento de S8 (lámina 73). S6, el resto de S8 y S9 se terminan en casa (entrega el martes 27).</t>
  </si>
  <si>
    <t xml:space="preserve">Provisional hasta recibir la institucional. Retroalimenta solo contenido de deep learning (formato y APA los revisa Titulación).</t>
  </si>
  <si>
    <t xml:space="preserve">Grupos y avance del NB03</t>
  </si>
  <si>
    <t xml:space="preserve">Elige en cada sección: ✔ (terminada) · en curso · — (sin empezar). El % cuenta «en curso» como media sección.</t>
  </si>
  <si>
    <t xml:space="preserve">Grupo</t>
  </si>
  <si>
    <t xml:space="preserve">Integrantes</t>
  </si>
  <si>
    <t xml:space="preserve">Dataset</t>
  </si>
  <si>
    <t xml:space="preserve">% avance</t>
  </si>
  <si>
    <t xml:space="preserve">Próximo paso / comentario</t>
  </si>
  <si>
    <t xml:space="preserve">Ej.</t>
  </si>
  <si>
    <t xml:space="preserve">Ana P., Luis M., Carla R., Diego T.</t>
  </si>
  <si>
    <t xml:space="preserve">Cooperativa</t>
  </si>
  <si>
    <t xml:space="preserve">✔</t>
  </si>
  <si>
    <t xml:space="preserve">en curso</t>
  </si>
  <si>
    <t xml:space="preserve">—</t>
  </si>
  <si>
    <t xml:space="preserve">Revisar fuga: escalaron antes de partir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</si>
  <si>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</si>
  <si>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</si>
  <si>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</si>
  <si>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</si>
  <si>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</si>
  <si>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</si>
  <si>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</si>
  <si>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</si>
  <si>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Promedio G1–G8</t>
  </si>
  <si>
    <t xml:space="preserve">Rúbrica del mini-proyecto · 70 pts</t>
  </si>
  <si>
    <t xml:space="preserve">Provisional. Escribe el puntaje de cada criterio; el total se suma solo. Rojo = supera el máximo del criterio.</t>
  </si>
  <si>
    <t xml:space="preserve">Implementación técnica</t>
  </si>
  <si>
    <t xml:space="preserve">Experimentación</t>
  </si>
  <si>
    <t xml:space="preserve">Justificación</t>
  </si>
  <si>
    <t xml:space="preserve">Integración al proyecto</t>
  </si>
  <si>
    <t xml:space="preserve">Comunicación</t>
  </si>
  <si>
    <t xml:space="preserve">Total /70</t>
  </si>
  <si>
    <t xml:space="preserve">Retroalimentación (solo contenido DL)</t>
  </si>
  <si>
    <t xml:space="preserve">Máximo</t>
  </si>
  <si>
    <t xml:space="preserve">Criterios en _docente/Guia_docente_y_apuntes.html → Seguimiento</t>
  </si>
  <si>
    <t xml:space="preserve">Gradient check aprobado y Keras corre. Falta justificar por qué PR-AUC y no exactitud.</t>
  </si>
  <si>
    <t xml:space="preserve">Una fila por visita. Tres preguntas por sala: ¿qué datos? ¿qué métrica y por qué? ¿partieron antes de escalar?</t>
  </si>
  <si>
    <t xml:space="preserve">Fecha</t>
  </si>
  <si>
    <t xml:space="preserve">Hora</t>
  </si>
  <si>
    <t xml:space="preserve">Sección NB03</t>
  </si>
  <si>
    <t xml:space="preserve">Bloqueo detectado</t>
  </si>
  <si>
    <t xml:space="preserve">Qué les sugeriste</t>
  </si>
  <si>
    <t xml:space="preserve">¿Resuelto?</t>
  </si>
  <si>
    <t xml:space="preserve">24/10/2026</t>
  </si>
  <si>
    <t xml:space="preserve">10:52</t>
  </si>
  <si>
    <t xml:space="preserve">Cambiaron el escalado y lo ajustaron con todo el dataset (fuga).</t>
  </si>
  <si>
    <t xml:space="preserve">Volver a ajustar el escalador solo con train, como venía en el NB03 (sección 3).</t>
  </si>
  <si>
    <t xml:space="preserve">Sí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</si>
</sst>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220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2"/>
      <color rgb="FF1D4ED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0"/>
      <color rgb="FF0B122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EF3C7"/>
      </patternFill>
    </fill>
    <fill>
      <patternFill patternType="solid">
        <fgColor rgb="FFEEF2F7"/>
        <bgColor rgb="FFDCE6FB"/>
      </patternFill>
    </fill>
    <fill>
      <patternFill patternType="solid">
        <fgColor rgb="FFDCE6FB"/>
        <bgColor rgb="FFEE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1FAE5"/>
        </patternFill>
      </fill>
    </dxf>
    <dxf>
      <fill>
        <patternFill>
          <bgColor rgb="FFFEF3C7"/>
        </patternFill>
      </fill>
    </dxf>
    <dxf>
      <font>
        <name val="Arial"/>
        <charset val="1"/>
        <family val="0"/>
        <b val="1"/>
        <color rgb="FFB91C1C"/>
      </font>
      <fill>
        <patternFill>
          <bgColor rgb="FFFECACA"/>
        </patternFill>
      </fill>
    </dxf>
  </dxfs>
  <colors>
    <indexedColors>
      <rgbColor rgb="FF000000"/>
      <rgbColor rgb="FFEEF2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DCE6FB"/>
      <rgbColor rgb="FF660066"/>
      <rgbColor rgb="FFFF8080"/>
      <rgbColor rgb="FF1D4ED8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EF3C7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B1220"/>
      <rgbColor rgb="FF333300"/>
      <rgbColor rgb="FFB91C1C"/>
      <rgbColor rgb="FF993366"/>
      <rgbColor rgb="FF4755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6" t="s">
        <v>5</v>
      </c>
      <c r="B6" s="4" t="s">
        <v>6</v>
      </c>
    </row>
    <row r="7" customFormat="false" ht="15" hidden="false" customHeight="false" outlineLevel="0" collapsed="false">
      <c r="A7" s="7" t="s">
        <v>7</v>
      </c>
      <c r="B7" s="4" t="s">
        <v>8</v>
      </c>
    </row>
    <row r="8" customFormat="false" ht="15" hidden="false" customHeight="false" outlineLevel="0" collapsed="false">
      <c r="A8" s="8"/>
      <c r="B8" s="4"/>
    </row>
    <row r="9" customFormat="false" ht="15" hidden="false" customHeight="false" outlineLevel="0" collapsed="false">
      <c r="A9" s="3" t="s">
        <v>9</v>
      </c>
      <c r="B9" s="4"/>
    </row>
    <row r="10" customFormat="false" ht="23.85" hidden="false" customHeight="false" outlineLevel="0" collapsed="false">
      <c r="A10" s="6" t="s">
        <v>10</v>
      </c>
      <c r="B10" s="4" t="s">
        <v>11</v>
      </c>
    </row>
    <row r="11" customFormat="false" ht="23.85" hidden="false" customHeight="false" outlineLevel="0" collapsed="false">
      <c r="A11" s="6" t="s">
        <v>12</v>
      </c>
      <c r="B11" s="4" t="s">
        <v>13</v>
      </c>
    </row>
    <row r="12" customFormat="false" ht="15" hidden="false" customHeight="false" outlineLevel="0" collapsed="false">
      <c r="A12" s="6" t="s">
        <v>14</v>
      </c>
      <c r="B12" s="4" t="s">
        <v>15</v>
      </c>
    </row>
    <row r="13" customFormat="false" ht="15" hidden="false" customHeight="false" outlineLevel="0" collapsed="false">
      <c r="A13" s="6" t="s">
        <v>16</v>
      </c>
      <c r="B13" s="4" t="s">
        <v>17</v>
      </c>
    </row>
    <row r="14" customFormat="false" ht="15" hidden="false" customHeight="false" outlineLevel="0" collapsed="false">
      <c r="A14" s="8"/>
      <c r="B14" s="4"/>
    </row>
    <row r="15" customFormat="false" ht="15" hidden="false" customHeight="false" outlineLevel="0" collapsed="false">
      <c r="A15" s="3" t="s">
        <v>18</v>
      </c>
      <c r="B15" s="4"/>
    </row>
    <row r="16" customFormat="false" ht="15" hidden="false" customHeight="false" outlineLevel="0" collapsed="false">
      <c r="A16" s="6" t="s">
        <v>19</v>
      </c>
      <c r="B16" s="4" t="s">
        <v>20</v>
      </c>
    </row>
    <row r="17" customFormat="false" ht="15" hidden="false" customHeight="false" outlineLevel="0" collapsed="false">
      <c r="A17" s="6" t="s">
        <v>21</v>
      </c>
      <c r="B17" s="4" t="s">
        <v>22</v>
      </c>
    </row>
    <row r="18" customFormat="false" ht="15" hidden="false" customHeight="false" outlineLevel="0" collapsed="false">
      <c r="A18" s="6" t="s">
        <v>23</v>
      </c>
      <c r="B18" s="4" t="s">
        <v>24</v>
      </c>
    </row>
    <row r="19" customFormat="false" ht="15" hidden="false" customHeight="false" outlineLevel="0" collapsed="false">
      <c r="A19" s="6" t="s">
        <v>25</v>
      </c>
      <c r="B19" s="4" t="s">
        <v>26</v>
      </c>
    </row>
    <row r="20" customFormat="false" ht="15" hidden="false" customHeight="false" outlineLevel="0" collapsed="false">
      <c r="A20" s="6" t="s">
        <v>27</v>
      </c>
      <c r="B20" s="4" t="s">
        <v>28</v>
      </c>
    </row>
    <row r="21" customFormat="false" ht="15" hidden="false" customHeight="false" outlineLevel="0" collapsed="false">
      <c r="A21" s="6" t="s">
        <v>29</v>
      </c>
      <c r="B21" s="4" t="s">
        <v>30</v>
      </c>
    </row>
    <row r="22" customFormat="false" ht="15" hidden="false" customHeight="false" outlineLevel="0" collapsed="false">
      <c r="A22" s="6" t="s">
        <v>31</v>
      </c>
      <c r="B22" s="4" t="s">
        <v>32</v>
      </c>
    </row>
    <row r="23" customFormat="false" ht="15" hidden="false" customHeight="false" outlineLevel="0" collapsed="false">
      <c r="A23" s="6" t="s">
        <v>33</v>
      </c>
      <c r="B23" s="4" t="s">
        <v>34</v>
      </c>
    </row>
    <row r="24" customFormat="false" ht="15" hidden="false" customHeight="false" outlineLevel="0" collapsed="false">
      <c r="A24" s="6" t="s">
        <v>35</v>
      </c>
      <c r="B24" s="4" t="s">
        <v>36</v>
      </c>
    </row>
    <row r="25" customFormat="false" ht="15" hidden="false" customHeight="false" outlineLevel="0" collapsed="false">
      <c r="A25" s="8"/>
      <c r="B25" s="4"/>
    </row>
    <row r="26" customFormat="false" ht="23.85" hidden="false" customHeight="false" outlineLevel="0" collapsed="false">
      <c r="A26" s="6" t="s">
        <v>37</v>
      </c>
      <c r="B26" s="4" t="s">
        <v>38</v>
      </c>
    </row>
    <row r="27" customFormat="false" ht="23.85" hidden="false" customHeight="false" outlineLevel="0" collapsed="false">
      <c r="A27" s="6" t="s">
        <v>12</v>
      </c>
      <c r="B27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12" min="4" style="0" width="9"/>
    <col collapsed="false" customWidth="true" hidden="false" outlineLevel="0" max="13" min="13" style="0" width="11"/>
    <col collapsed="false" customWidth="true" hidden="false" outlineLevel="0" max="14" min="14" style="0" width="44"/>
  </cols>
  <sheetData>
    <row r="1" customFormat="false" ht="24" hidden="false" customHeight="tru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31.5" hidden="false" customHeight="true" outlineLevel="0" collapsed="false">
      <c r="A4" s="9" t="s">
        <v>42</v>
      </c>
      <c r="B4" s="9" t="s">
        <v>43</v>
      </c>
      <c r="C4" s="9" t="s">
        <v>44</v>
      </c>
      <c r="D4" s="9" t="s">
        <v>19</v>
      </c>
      <c r="E4" s="9" t="s">
        <v>21</v>
      </c>
      <c r="F4" s="9" t="s">
        <v>23</v>
      </c>
      <c r="G4" s="9" t="s">
        <v>25</v>
      </c>
      <c r="H4" s="9" t="s">
        <v>27</v>
      </c>
      <c r="I4" s="9" t="s">
        <v>29</v>
      </c>
      <c r="J4" s="9" t="s">
        <v>31</v>
      </c>
      <c r="K4" s="9" t="s">
        <v>33</v>
      </c>
      <c r="L4" s="9" t="s">
        <v>35</v>
      </c>
      <c r="M4" s="9" t="s">
        <v>45</v>
      </c>
      <c r="N4" s="9" t="s">
        <v>46</v>
      </c>
    </row>
    <row r="5" customFormat="false" ht="30" hidden="false" customHeight="true" outlineLevel="0" collapsed="false">
      <c r="A5" s="10" t="s">
        <v>47</v>
      </c>
      <c r="B5" s="10" t="s">
        <v>48</v>
      </c>
      <c r="C5" s="10" t="s">
        <v>49</v>
      </c>
      <c r="D5" s="11" t="s">
        <v>50</v>
      </c>
      <c r="E5" s="11" t="s">
        <v>50</v>
      </c>
      <c r="F5" s="11" t="s">
        <v>50</v>
      </c>
      <c r="G5" s="11" t="s">
        <v>50</v>
      </c>
      <c r="H5" s="11" t="s">
        <v>51</v>
      </c>
      <c r="I5" s="11" t="s">
        <v>52</v>
      </c>
      <c r="J5" s="11" t="s">
        <v>52</v>
      </c>
      <c r="K5" s="11" t="s">
        <v>52</v>
      </c>
      <c r="L5" s="11" t="s">
        <v>52</v>
      </c>
      <c r="M5" s="12" t="n">
        <f aca="false">(COUNTIF(D5:L5,"✔")+0.5*COUNTIF(D5:L5,"en curso"))/9</f>
        <v>0.5</v>
      </c>
      <c r="N5" s="10" t="s">
        <v>53</v>
      </c>
    </row>
    <row r="6" customFormat="false" ht="30" hidden="false" customHeight="true" outlineLevel="0" collapsed="false">
      <c r="A6" s="13" t="s">
        <v>54</v>
      </c>
      <c r="B6" s="14"/>
      <c r="C6" s="14"/>
      <c r="D6" s="15"/>
      <c r="E6" s="15"/>
      <c r="F6" s="15"/>
      <c r="G6" s="15"/>
      <c r="H6" s="15"/>
      <c r="I6" s="15"/>
      <c r="J6" s="15"/>
      <c r="K6" s="15"/>
      <c r="L6" s="15"/>
      <c r="M6" s="16" t="n">
        <f aca="false">(COUNTIF(D6:L6,"✔")+0.5*COUNTIF(D6:L6,"en curso"))/9</f>
        <v>0</v>
      </c>
      <c r="N6" s="14"/>
    </row>
    <row r="7" customFormat="false" ht="30" hidden="false" customHeight="true" outlineLevel="0" collapsed="false">
      <c r="A7" s="13" t="s">
        <v>55</v>
      </c>
      <c r="B7" s="14"/>
      <c r="C7" s="14"/>
      <c r="D7" s="15"/>
      <c r="E7" s="15"/>
      <c r="F7" s="15"/>
      <c r="G7" s="15"/>
      <c r="H7" s="15"/>
      <c r="I7" s="15"/>
      <c r="J7" s="15"/>
      <c r="K7" s="15"/>
      <c r="L7" s="15"/>
      <c r="M7" s="16" t="n">
        <f aca="false">(COUNTIF(D7:L7,"✔")+0.5*COUNTIF(D7:L7,"en curso"))/9</f>
        <v>0</v>
      </c>
      <c r="N7" s="14"/>
    </row>
    <row r="8" customFormat="false" ht="30" hidden="false" customHeight="true" outlineLevel="0" collapsed="false">
      <c r="A8" s="13" t="s">
        <v>56</v>
      </c>
      <c r="B8" s="14"/>
      <c r="C8" s="14"/>
      <c r="D8" s="15"/>
      <c r="E8" s="15"/>
      <c r="F8" s="15"/>
      <c r="G8" s="15"/>
      <c r="H8" s="15"/>
      <c r="I8" s="15"/>
      <c r="J8" s="15"/>
      <c r="K8" s="15"/>
      <c r="L8" s="15"/>
      <c r="M8" s="16" t="n">
        <f aca="false">(COUNTIF(D8:L8,"✔")+0.5*COUNTIF(D8:L8,"en curso"))/9</f>
        <v>0</v>
      </c>
      <c r="N8" s="14"/>
    </row>
    <row r="9" customFormat="false" ht="30" hidden="false" customHeight="true" outlineLevel="0" collapsed="false">
      <c r="A9" s="13" t="s">
        <v>57</v>
      </c>
      <c r="B9" s="14"/>
      <c r="C9" s="14"/>
      <c r="D9" s="15"/>
      <c r="E9" s="15"/>
      <c r="F9" s="15"/>
      <c r="G9" s="15"/>
      <c r="H9" s="15"/>
      <c r="I9" s="15"/>
      <c r="J9" s="15"/>
      <c r="K9" s="15"/>
      <c r="L9" s="15"/>
      <c r="M9" s="16" t="n">
        <f aca="false">(COUNTIF(D9:L9,"✔")+0.5*COUNTIF(D9:L9,"en curso"))/9</f>
        <v>0</v>
      </c>
      <c r="N9" s="14"/>
    </row>
    <row r="10" customFormat="false" ht="30" hidden="false" customHeight="true" outlineLevel="0" collapsed="false">
      <c r="A10" s="13" t="s">
        <v>58</v>
      </c>
      <c r="B10" s="14"/>
      <c r="C10" s="14"/>
      <c r="D10" s="15"/>
      <c r="E10" s="15"/>
      <c r="F10" s="15"/>
      <c r="G10" s="15"/>
      <c r="H10" s="15"/>
      <c r="I10" s="15"/>
      <c r="J10" s="15"/>
      <c r="K10" s="15"/>
      <c r="L10" s="15"/>
      <c r="M10" s="16" t="n">
        <f aca="false">(COUNTIF(D10:L10,"✔")+0.5*COUNTIF(D10:L10,"en curso"))/9</f>
        <v>0</v>
      </c>
      <c r="N10" s="14"/>
    </row>
    <row r="11" customFormat="false" ht="30" hidden="false" customHeight="true" outlineLevel="0" collapsed="false">
      <c r="A11" s="13" t="s">
        <v>59</v>
      </c>
      <c r="B11" s="14"/>
      <c r="C11" s="14"/>
      <c r="D11" s="15"/>
      <c r="E11" s="15"/>
      <c r="F11" s="15"/>
      <c r="G11" s="15"/>
      <c r="H11" s="15"/>
      <c r="I11" s="15"/>
      <c r="J11" s="15"/>
      <c r="K11" s="15"/>
      <c r="L11" s="15"/>
      <c r="M11" s="16" t="n">
        <f aca="false">(COUNTIF(D11:L11,"✔")+0.5*COUNTIF(D11:L11,"en curso"))/9</f>
        <v>0</v>
      </c>
      <c r="N11" s="14"/>
    </row>
    <row r="12" customFormat="false" ht="30" hidden="false" customHeight="true" outlineLevel="0" collapsed="false">
      <c r="A12" s="13" t="s">
        <v>60</v>
      </c>
      <c r="B12" s="14"/>
      <c r="C12" s="14"/>
      <c r="D12" s="15"/>
      <c r="E12" s="15"/>
      <c r="F12" s="15"/>
      <c r="G12" s="15"/>
      <c r="H12" s="15"/>
      <c r="I12" s="15"/>
      <c r="J12" s="15"/>
      <c r="K12" s="15"/>
      <c r="L12" s="15"/>
      <c r="M12" s="16" t="n">
        <f aca="false">(COUNTIF(D12:L12,"✔")+0.5*COUNTIF(D12:L12,"en curso"))/9</f>
        <v>0</v>
      </c>
      <c r="N12" s="14"/>
    </row>
    <row r="13" customFormat="false" ht="30" hidden="false" customHeight="true" outlineLevel="0" collapsed="false">
      <c r="A13" s="13" t="s">
        <v>61</v>
      </c>
      <c r="B13" s="14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6" t="n">
        <f aca="false">(COUNTIF(D13:L13,"✔")+0.5*COUNTIF(D13:L13,"en curso"))/9</f>
        <v>0</v>
      </c>
      <c r="N13" s="14"/>
    </row>
    <row r="15" customFormat="false" ht="15" hidden="false" customHeight="false" outlineLevel="0" collapsed="false">
      <c r="L15" s="17" t="s">
        <v>62</v>
      </c>
      <c r="M15" s="16" t="n">
        <f aca="false">AVERAGE(M6:M13)</f>
        <v>0</v>
      </c>
    </row>
  </sheetData>
  <conditionalFormatting sqref="D5:L13">
    <cfRule type="cellIs" priority="2" operator="equal" aboveAverage="0" equalAverage="0" bottom="0" percent="0" rank="0" text="" dxfId="0">
      <formula>"✔"</formula>
    </cfRule>
    <cfRule type="cellIs" priority="3" operator="equal" aboveAverage="0" equalAverage="0" bottom="0" percent="0" rank="0" text="" dxfId="1">
      <formula>"en curso"</formula>
    </cfRule>
  </conditionalFormatting>
  <dataValidations count="2">
    <dataValidation allowBlank="true" errorStyle="stop" operator="between" showDropDown="false" showErrorMessage="false" showInputMessage="false" sqref="D5:L13" type="list">
      <formula1>"✔,en curso,—"</formula1>
      <formula2>0</formula2>
    </dataValidation>
    <dataValidation allowBlank="true" errorStyle="stop" operator="between" showDropDown="false" showErrorMessage="false" showInputMessage="false" sqref="C5:C13" type="list">
      <formula1>"Cooperativa,Propio"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6" min="2" style="0" width="16"/>
    <col collapsed="false" customWidth="true" hidden="false" outlineLevel="0" max="7" min="7" style="0" width="11"/>
    <col collapsed="false" customWidth="true" hidden="false" outlineLevel="0" max="8" min="8" style="0" width="60"/>
  </cols>
  <sheetData>
    <row r="1" customFormat="false" ht="24" hidden="false" customHeight="tru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31.5" hidden="false" customHeight="true" outlineLevel="0" collapsed="false">
      <c r="A4" s="9" t="s">
        <v>42</v>
      </c>
      <c r="B4" s="9" t="s">
        <v>65</v>
      </c>
      <c r="C4" s="9" t="s">
        <v>66</v>
      </c>
      <c r="D4" s="9" t="s">
        <v>67</v>
      </c>
      <c r="E4" s="9" t="s">
        <v>68</v>
      </c>
      <c r="F4" s="9" t="s">
        <v>69</v>
      </c>
      <c r="G4" s="9" t="s">
        <v>70</v>
      </c>
      <c r="H4" s="9" t="s">
        <v>71</v>
      </c>
    </row>
    <row r="5" customFormat="false" ht="15" hidden="false" customHeight="false" outlineLevel="0" collapsed="false">
      <c r="A5" s="13" t="s">
        <v>72</v>
      </c>
      <c r="B5" s="18" t="n">
        <v>25</v>
      </c>
      <c r="C5" s="18" t="n">
        <v>15</v>
      </c>
      <c r="D5" s="18" t="n">
        <v>15</v>
      </c>
      <c r="E5" s="18" t="n">
        <v>10</v>
      </c>
      <c r="F5" s="18" t="n">
        <v>5</v>
      </c>
      <c r="G5" s="18" t="n">
        <f aca="false">SUM(B5:F5)</f>
        <v>70</v>
      </c>
      <c r="H5" s="2" t="s">
        <v>73</v>
      </c>
    </row>
    <row r="6" customFormat="false" ht="30" hidden="false" customHeight="true" outlineLevel="0" collapsed="false">
      <c r="A6" s="10" t="s">
        <v>47</v>
      </c>
      <c r="B6" s="11" t="n">
        <v>22</v>
      </c>
      <c r="C6" s="11" t="n">
        <v>12</v>
      </c>
      <c r="D6" s="11" t="n">
        <v>11</v>
      </c>
      <c r="E6" s="11" t="n">
        <v>8</v>
      </c>
      <c r="F6" s="11" t="n">
        <v>4</v>
      </c>
      <c r="G6" s="19" t="n">
        <f aca="false">IF(COUNT(B6:F6)=0,"",SUM(B6:F6))</f>
        <v>57</v>
      </c>
      <c r="H6" s="10" t="s">
        <v>74</v>
      </c>
    </row>
    <row r="7" customFormat="false" ht="30" hidden="false" customHeight="true" outlineLevel="0" collapsed="false">
      <c r="A7" s="13" t="s">
        <v>54</v>
      </c>
      <c r="B7" s="15"/>
      <c r="C7" s="15"/>
      <c r="D7" s="15"/>
      <c r="E7" s="15"/>
      <c r="F7" s="15"/>
      <c r="G7" s="20" t="str">
        <f aca="false">IF(COUNT(B7:F7)=0,"",SUM(B7:F7))</f>
        <v/>
      </c>
      <c r="H7" s="14"/>
    </row>
    <row r="8" customFormat="false" ht="30" hidden="false" customHeight="true" outlineLevel="0" collapsed="false">
      <c r="A8" s="13" t="s">
        <v>55</v>
      </c>
      <c r="B8" s="15"/>
      <c r="C8" s="15"/>
      <c r="D8" s="15"/>
      <c r="E8" s="15"/>
      <c r="F8" s="15"/>
      <c r="G8" s="20" t="str">
        <f aca="false">IF(COUNT(B8:F8)=0,"",SUM(B8:F8))</f>
        <v/>
      </c>
      <c r="H8" s="14"/>
    </row>
    <row r="9" customFormat="false" ht="30" hidden="false" customHeight="true" outlineLevel="0" collapsed="false">
      <c r="A9" s="13" t="s">
        <v>56</v>
      </c>
      <c r="B9" s="15"/>
      <c r="C9" s="15"/>
      <c r="D9" s="15"/>
      <c r="E9" s="15"/>
      <c r="F9" s="15"/>
      <c r="G9" s="20" t="str">
        <f aca="false">IF(COUNT(B9:F9)=0,"",SUM(B9:F9))</f>
        <v/>
      </c>
      <c r="H9" s="14"/>
    </row>
    <row r="10" customFormat="false" ht="30" hidden="false" customHeight="true" outlineLevel="0" collapsed="false">
      <c r="A10" s="13" t="s">
        <v>57</v>
      </c>
      <c r="B10" s="15"/>
      <c r="C10" s="15"/>
      <c r="D10" s="15"/>
      <c r="E10" s="15"/>
      <c r="F10" s="15"/>
      <c r="G10" s="20" t="str">
        <f aca="false">IF(COUNT(B10:F10)=0,"",SUM(B10:F10))</f>
        <v/>
      </c>
      <c r="H10" s="14"/>
    </row>
    <row r="11" customFormat="false" ht="30" hidden="false" customHeight="true" outlineLevel="0" collapsed="false">
      <c r="A11" s="13" t="s">
        <v>58</v>
      </c>
      <c r="B11" s="15"/>
      <c r="C11" s="15"/>
      <c r="D11" s="15"/>
      <c r="E11" s="15"/>
      <c r="F11" s="15"/>
      <c r="G11" s="20" t="str">
        <f aca="false">IF(COUNT(B11:F11)=0,"",SUM(B11:F11))</f>
        <v/>
      </c>
      <c r="H11" s="14"/>
    </row>
    <row r="12" customFormat="false" ht="30" hidden="false" customHeight="true" outlineLevel="0" collapsed="false">
      <c r="A12" s="13" t="s">
        <v>59</v>
      </c>
      <c r="B12" s="15"/>
      <c r="C12" s="15"/>
      <c r="D12" s="15"/>
      <c r="E12" s="15"/>
      <c r="F12" s="15"/>
      <c r="G12" s="20" t="str">
        <f aca="false">IF(COUNT(B12:F12)=0,"",SUM(B12:F12))</f>
        <v/>
      </c>
      <c r="H12" s="14"/>
    </row>
    <row r="13" customFormat="false" ht="30" hidden="false" customHeight="true" outlineLevel="0" collapsed="false">
      <c r="A13" s="13" t="s">
        <v>60</v>
      </c>
      <c r="B13" s="15"/>
      <c r="C13" s="15"/>
      <c r="D13" s="15"/>
      <c r="E13" s="15"/>
      <c r="F13" s="15"/>
      <c r="G13" s="20" t="str">
        <f aca="false">IF(COUNT(B13:F13)=0,"",SUM(B13:F13))</f>
        <v/>
      </c>
      <c r="H13" s="14"/>
    </row>
    <row r="14" customFormat="false" ht="30" hidden="false" customHeight="true" outlineLevel="0" collapsed="false">
      <c r="A14" s="13" t="s">
        <v>61</v>
      </c>
      <c r="B14" s="15"/>
      <c r="C14" s="15"/>
      <c r="D14" s="15"/>
      <c r="E14" s="15"/>
      <c r="F14" s="15"/>
      <c r="G14" s="20" t="str">
        <f aca="false">IF(COUNT(B14:F14)=0,"",SUM(B14:F14))</f>
        <v/>
      </c>
      <c r="H14" s="14"/>
    </row>
    <row r="16" customFormat="false" ht="15" hidden="false" customHeight="false" outlineLevel="0" collapsed="false">
      <c r="F16" s="17" t="s">
        <v>62</v>
      </c>
      <c r="G16" s="21" t="str">
        <f aca="false">IFERROR(AVERAGE(G7:G14),"")</f>
        <v/>
      </c>
    </row>
  </sheetData>
  <conditionalFormatting sqref="B6:B14">
    <cfRule type="expression" priority="2" aboveAverage="0" equalAverage="0" bottom="0" percent="0" rank="0" text="" dxfId="2">
      <formula>AND(ISNUMBER(B6),B6&gt;B$5)</formula>
    </cfRule>
  </conditionalFormatting>
  <conditionalFormatting sqref="C6:C14">
    <cfRule type="expression" priority="3" aboveAverage="0" equalAverage="0" bottom="0" percent="0" rank="0" text="" dxfId="2">
      <formula>AND(ISNUMBER(C6),C6&gt;C$5)</formula>
    </cfRule>
  </conditionalFormatting>
  <conditionalFormatting sqref="D6:D14">
    <cfRule type="expression" priority="4" aboveAverage="0" equalAverage="0" bottom="0" percent="0" rank="0" text="" dxfId="2">
      <formula>AND(ISNUMBER(D6),D6&gt;D$5)</formula>
    </cfRule>
  </conditionalFormatting>
  <conditionalFormatting sqref="E6:E14">
    <cfRule type="expression" priority="5" aboveAverage="0" equalAverage="0" bottom="0" percent="0" rank="0" text="" dxfId="2">
      <formula>AND(ISNUMBER(E6),E6&gt;E$5)</formula>
    </cfRule>
  </conditionalFormatting>
  <conditionalFormatting sqref="F6:F14">
    <cfRule type="expression" priority="6" aboveAverage="0" equalAverage="0" bottom="0" percent="0" rank="0" text="" dxfId="2">
      <formula>AND(ISNUMBER(F6),F6&gt;F$5)</formula>
    </cfRule>
  </conditionalFormatting>
  <dataValidations count="1">
    <dataValidation allowBlank="true" errorStyle="stop" operator="between" showDropDown="false" showErrorMessage="false" showInputMessage="false" sqref="B6:F14" type="decimal">
      <formula1>0</formula1>
      <formula2>25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4" min="4" style="0" width="12"/>
    <col collapsed="false" customWidth="true" hidden="false" outlineLevel="0" max="6" min="5" style="0" width="46"/>
    <col collapsed="false" customWidth="true" hidden="false" outlineLevel="0" max="7" min="7" style="0" width="11"/>
  </cols>
  <sheetData>
    <row r="1" customFormat="false" ht="24" hidden="false" customHeight="true" outlineLevel="0" collapsed="false">
      <c r="A1" s="1" t="s">
        <v>16</v>
      </c>
    </row>
    <row r="2" customFormat="false" ht="15" hidden="false" customHeight="false" outlineLevel="0" collapsed="false">
      <c r="A2" s="2" t="s">
        <v>75</v>
      </c>
    </row>
    <row r="4" customFormat="false" ht="31.5" hidden="false" customHeight="true" outlineLevel="0" collapsed="false">
      <c r="A4" s="9" t="s">
        <v>76</v>
      </c>
      <c r="B4" s="9" t="s">
        <v>77</v>
      </c>
      <c r="C4" s="9" t="s">
        <v>42</v>
      </c>
      <c r="D4" s="9" t="s">
        <v>78</v>
      </c>
      <c r="E4" s="9" t="s">
        <v>79</v>
      </c>
      <c r="F4" s="9" t="s">
        <v>80</v>
      </c>
      <c r="G4" s="9" t="s">
        <v>81</v>
      </c>
    </row>
    <row r="5" customFormat="false" ht="23.85" hidden="false" customHeight="false" outlineLevel="0" collapsed="false">
      <c r="A5" s="10" t="s">
        <v>82</v>
      </c>
      <c r="B5" s="10" t="s">
        <v>83</v>
      </c>
      <c r="C5" s="10" t="s">
        <v>56</v>
      </c>
      <c r="D5" s="10" t="s">
        <v>23</v>
      </c>
      <c r="E5" s="10" t="s">
        <v>84</v>
      </c>
      <c r="F5" s="10" t="s">
        <v>85</v>
      </c>
      <c r="G5" s="10" t="s">
        <v>86</v>
      </c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4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4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4"/>
    </row>
    <row r="41" customFormat="false" ht="15" hidden="false" customHeight="false" outlineLevel="0" collapsed="false">
      <c r="A41" s="14"/>
      <c r="B41" s="14"/>
      <c r="C41" s="14"/>
      <c r="D41" s="14"/>
      <c r="E41" s="14"/>
      <c r="F41" s="14"/>
      <c r="G41" s="14"/>
    </row>
    <row r="42" customFormat="false" ht="15" hidden="false" customHeight="false" outlineLevel="0" collapsed="false">
      <c r="A42" s="14"/>
      <c r="B42" s="14"/>
      <c r="C42" s="14"/>
      <c r="D42" s="14"/>
      <c r="E42" s="14"/>
      <c r="F42" s="14"/>
      <c r="G42" s="14"/>
    </row>
    <row r="43" customFormat="false" ht="15" hidden="false" customHeight="false" outlineLevel="0" collapsed="false">
      <c r="A43" s="14"/>
      <c r="B43" s="14"/>
      <c r="C43" s="14"/>
      <c r="D43" s="14"/>
      <c r="E43" s="14"/>
      <c r="F43" s="14"/>
      <c r="G43" s="14"/>
    </row>
    <row r="44" customFormat="false" ht="15" hidden="false" customHeight="false" outlineLevel="0" collapsed="false">
      <c r="A44" s="14"/>
      <c r="B44" s="14"/>
      <c r="C44" s="14"/>
      <c r="D44" s="14"/>
      <c r="E44" s="14"/>
      <c r="F44" s="14"/>
      <c r="G44" s="14"/>
    </row>
    <row r="45" customFormat="false" ht="15" hidden="false" customHeight="false" outlineLevel="0" collapsed="false">
      <c r="A45" s="14"/>
      <c r="B45" s="14"/>
      <c r="C45" s="14"/>
      <c r="D45" s="14"/>
      <c r="E45" s="14"/>
      <c r="F45" s="14"/>
      <c r="G45" s="14"/>
    </row>
  </sheetData>
  <dataValidations count="3">
    <dataValidation allowBlank="true" errorStyle="stop" operator="between" showDropDown="false" showErrorMessage="false" showInputMessage="false" sqref="D5:D45" type="list">
      <formula1>"S1,S2,S3,S4,S5,S6,S7,S8,S9"</formula1>
      <formula2>0</formula2>
    </dataValidation>
    <dataValidation allowBlank="true" errorStyle="stop" operator="between" showDropDown="false" showErrorMessage="false" showInputMessage="false" sqref="G5:G45" type="list">
      <formula1>"Sí,No,En casa"</formula1>
      <formula2>0</formula2>
    </dataValidation>
    <dataValidation allowBlank="true" errorStyle="stop" operator="between" showDropDown="false" showErrorMessage="false" showInputMessage="false" sqref="C5:C45" type="list">
      <formula1>"G1,G2,G3,G4,G5,G6,G7,G8"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2026-10-19T03:55:07Z</dcterms:created>
  <dc:creator>openpyxl</dc:creator>
  <dc:description/>
  <dc:language>en-US</dc:language>
  <cp:lastModifiedBy/>
  <dcterms:modified xsi:type="dcterms:W3CDTF">2026-10-19T03:55:07Z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